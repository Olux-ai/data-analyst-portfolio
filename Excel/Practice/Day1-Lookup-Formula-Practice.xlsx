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ebayo Olumide\Downloads\"/>
    </mc:Choice>
  </mc:AlternateContent>
  <xr:revisionPtr revIDLastSave="0" documentId="13_ncr:1_{BC6F2958-C1ED-46E4-9A4E-264D5B8FC9E8}" xr6:coauthVersionLast="47" xr6:coauthVersionMax="47" xr10:uidLastSave="{00000000-0000-0000-0000-000000000000}"/>
  <bookViews>
    <workbookView xWindow="-120" yWindow="-120" windowWidth="20730" windowHeight="11760" tabRatio="500" firstSheet="1" activeTab="3" xr2:uid="{00000000-000D-0000-FFFF-FFFF00000000}"/>
  </bookViews>
  <sheets>
    <sheet name="Instructions" sheetId="1" r:id="rId1"/>
    <sheet name="Sales Data" sheetId="2" r:id="rId2"/>
    <sheet name="Reference Tables" sheetId="3" r:id="rId3"/>
    <sheet name="Exercises" sheetId="4" r:id="rId4"/>
    <sheet name="Answer Key" sheetId="5" r:id="rId5"/>
  </sheets>
  <definedNames>
    <definedName name="_xlnm._FilterDatabase" localSheetId="1" hidden="1">'Sales Data'!$A$3:$J$33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4" l="1"/>
  <c r="F4" i="4"/>
  <c r="C4" i="5"/>
  <c r="F13" i="4"/>
  <c r="F11" i="4"/>
  <c r="F10" i="4"/>
  <c r="F9" i="4"/>
  <c r="F5" i="4"/>
  <c r="F8" i="4"/>
  <c r="F7" i="4"/>
  <c r="F6" i="4"/>
  <c r="C13" i="5"/>
  <c r="C12" i="5"/>
  <c r="C11" i="5"/>
  <c r="C10" i="5"/>
  <c r="C9" i="5"/>
  <c r="C8" i="5"/>
  <c r="C7" i="5"/>
  <c r="C6" i="5"/>
  <c r="C5" i="5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</calcChain>
</file>

<file path=xl/sharedStrings.xml><?xml version="1.0" encoding="utf-8"?>
<sst xmlns="http://schemas.openxmlformats.org/spreadsheetml/2006/main" count="356" uniqueCount="166">
  <si>
    <t>LOOKUP FORMULA PRACTICE -- 10 EXERCISES, NO TUTORIAL</t>
  </si>
  <si>
    <t>The point of this drill is to fail a little and figure it out -- that's what makes it stick.</t>
  </si>
  <si>
    <t>How to run it:</t>
  </si>
  <si>
    <t>1. Go to the 'Sales Data' tab to see the raw data, and 'Reference Tables' for the lookup tables you'll pull from.</t>
  </si>
  <si>
    <t>2. Go to 'Exercises'. Each row gives you a task in plain English and tells you which cells to reference.</t>
  </si>
  <si>
    <t>3. Type your formula directly into the yellow 'Your Formula' cell. Give each one a real 5-10 min attempt before you look at the hint.</t>
  </si>
  <si>
    <t>4. Stuck after a real attempt? Read the 'Hint' column -- it nudges you toward the right function, it doesn't give you the formula.</t>
  </si>
  <si>
    <t>5. Only after you've written something (right or wrong) for all 10, open 'Answer Key' to check yourself. Opening it first defeats the whole point of 'without watching a tutorial.'</t>
  </si>
  <si>
    <t>What's covered: VLOOKUP, INDEX/MATCH, XLOOKUP, IFERROR, approximate-match lookups, two-way lookups, and nested IF -- the exact set from today's Day 1 study session.</t>
  </si>
  <si>
    <t>SALES DATA -- SAMPLE SALES SHEET</t>
  </si>
  <si>
    <t>OrderID</t>
  </si>
  <si>
    <t>OrderDate</t>
  </si>
  <si>
    <t>Region</t>
  </si>
  <si>
    <t>SalesRep</t>
  </si>
  <si>
    <t>Product</t>
  </si>
  <si>
    <t>Category</t>
  </si>
  <si>
    <t>Units</t>
  </si>
  <si>
    <t>UnitPrice</t>
  </si>
  <si>
    <t>Revenue</t>
  </si>
  <si>
    <t>Status</t>
  </si>
  <si>
    <t>ORD-1001</t>
  </si>
  <si>
    <t>2026-06-02</t>
  </si>
  <si>
    <t>Lagos</t>
  </si>
  <si>
    <t>Chidi Eze</t>
  </si>
  <si>
    <t>USB-C Hub</t>
  </si>
  <si>
    <t>Accessories</t>
  </si>
  <si>
    <t>Delivered</t>
  </si>
  <si>
    <t>ORD-1002</t>
  </si>
  <si>
    <t>2026-06-03</t>
  </si>
  <si>
    <t>Port Harcourt</t>
  </si>
  <si>
    <t>Emeka Nwosu</t>
  </si>
  <si>
    <t>Office Chair</t>
  </si>
  <si>
    <t>Furniture</t>
  </si>
  <si>
    <t>ORD-1003</t>
  </si>
  <si>
    <t>2026-06-04</t>
  </si>
  <si>
    <t>Ada Obi</t>
  </si>
  <si>
    <t>External SSD 1TB</t>
  </si>
  <si>
    <t>Storage</t>
  </si>
  <si>
    <t>Pending</t>
  </si>
  <si>
    <t>ORD-1004</t>
  </si>
  <si>
    <t>2026-06-05</t>
  </si>
  <si>
    <t>27in Monitor</t>
  </si>
  <si>
    <t>Displays</t>
  </si>
  <si>
    <t>Cancelled</t>
  </si>
  <si>
    <t>ORD-1005</t>
  </si>
  <si>
    <t>2026-06-06</t>
  </si>
  <si>
    <t>Webcam HD</t>
  </si>
  <si>
    <t>Peripherals</t>
  </si>
  <si>
    <t>ORD-1006</t>
  </si>
  <si>
    <t>2026-06-07</t>
  </si>
  <si>
    <t>Noise Cancelling Headset</t>
  </si>
  <si>
    <t>ORD-1007</t>
  </si>
  <si>
    <t>2026-06-08</t>
  </si>
  <si>
    <t>Mechanical Keyboard</t>
  </si>
  <si>
    <t>ORD-1008</t>
  </si>
  <si>
    <t>2026-06-09</t>
  </si>
  <si>
    <t>Laptop Stand</t>
  </si>
  <si>
    <t>ORD-1009</t>
  </si>
  <si>
    <t>2026-06-10</t>
  </si>
  <si>
    <t>Standing Desk</t>
  </si>
  <si>
    <t>ORD-1010</t>
  </si>
  <si>
    <t>2026-06-11</t>
  </si>
  <si>
    <t>Wireless Mouse</t>
  </si>
  <si>
    <t>ORD-1011</t>
  </si>
  <si>
    <t>2026-06-12</t>
  </si>
  <si>
    <t>ORD-1012</t>
  </si>
  <si>
    <t>2026-06-13</t>
  </si>
  <si>
    <t>ORD-1013</t>
  </si>
  <si>
    <t>2026-06-14</t>
  </si>
  <si>
    <t>ORD-1014</t>
  </si>
  <si>
    <t>2026-06-15</t>
  </si>
  <si>
    <t>ORD-1015</t>
  </si>
  <si>
    <t>2026-06-16</t>
  </si>
  <si>
    <t>ORD-1016</t>
  </si>
  <si>
    <t>2026-06-17</t>
  </si>
  <si>
    <t>ORD-1017</t>
  </si>
  <si>
    <t>2026-06-18</t>
  </si>
  <si>
    <t>ORD-1018</t>
  </si>
  <si>
    <t>2026-06-19</t>
  </si>
  <si>
    <t>ORD-1019</t>
  </si>
  <si>
    <t>2026-06-20</t>
  </si>
  <si>
    <t>ORD-1020</t>
  </si>
  <si>
    <t>2026-06-21</t>
  </si>
  <si>
    <t>ORD-1021</t>
  </si>
  <si>
    <t>2026-06-22</t>
  </si>
  <si>
    <t>ORD-1022</t>
  </si>
  <si>
    <t>2026-06-23</t>
  </si>
  <si>
    <t>ORD-1023</t>
  </si>
  <si>
    <t>2026-06-24</t>
  </si>
  <si>
    <t>ORD-1024</t>
  </si>
  <si>
    <t>2026-06-25</t>
  </si>
  <si>
    <t>ORD-1025</t>
  </si>
  <si>
    <t>2026-06-26</t>
  </si>
  <si>
    <t>ORD-1026</t>
  </si>
  <si>
    <t>2026-06-27</t>
  </si>
  <si>
    <t>ORD-1027</t>
  </si>
  <si>
    <t>2026-06-28</t>
  </si>
  <si>
    <t>ORD-1028</t>
  </si>
  <si>
    <t>2026-06-01</t>
  </si>
  <si>
    <t>ORD-1029</t>
  </si>
  <si>
    <t>ORD-1030</t>
  </si>
  <si>
    <t>REFERENCE TABLES</t>
  </si>
  <si>
    <t>Product Price List</t>
  </si>
  <si>
    <t>Sales Rep Directory</t>
  </si>
  <si>
    <t>ReorderLevel</t>
  </si>
  <si>
    <t>MonthlyTarget</t>
  </si>
  <si>
    <t>Manager</t>
  </si>
  <si>
    <t>T. Balogun</t>
  </si>
  <si>
    <t>Bola Ade</t>
  </si>
  <si>
    <t>Abuja</t>
  </si>
  <si>
    <t>K. Ibrahim</t>
  </si>
  <si>
    <t>Fatima Bello</t>
  </si>
  <si>
    <t>Kano</t>
  </si>
  <si>
    <t>Grace Udo</t>
  </si>
  <si>
    <t>Discount Tiers (by Units Ordered)</t>
  </si>
  <si>
    <t>MinUnits</t>
  </si>
  <si>
    <t>Discount%</t>
  </si>
  <si>
    <t>10 LOOKUP EXERCISES -- WRITE THE FORMULA YOURSELF</t>
  </si>
  <si>
    <t>Yellow 'Input' cells are given. Yellow 'Your Formula' cells are where you write your formula. Don't peek at 'Answer Key' until you've attempted all 10.</t>
  </si>
  <si>
    <t>#</t>
  </si>
  <si>
    <t>Skill Focus</t>
  </si>
  <si>
    <t>Task</t>
  </si>
  <si>
    <t>Input 1</t>
  </si>
  <si>
    <t>Input 2</t>
  </si>
  <si>
    <t>Your Formula</t>
  </si>
  <si>
    <t>Hint</t>
  </si>
  <si>
    <t>VLOOKUP (exact match)</t>
  </si>
  <si>
    <t>Look up the Category for the product named in D4, using the Product Price List on 'Reference Tables'.</t>
  </si>
  <si>
    <t>Return an exact-match VLOOKUP. Table array is 'Reference Tables'!A5:D14 -- what column number is Category in?</t>
  </si>
  <si>
    <t>INDEX/MATCH</t>
  </si>
  <si>
    <t>Look up the UnitPrice for the product named in D5, using INDEX/MATCH instead of VLOOKUP.</t>
  </si>
  <si>
    <t>MATCH finds the row position of the product in the Product column; INDEX pulls from the UnitPrice column using that position.</t>
  </si>
  <si>
    <t>XLOOKUP</t>
  </si>
  <si>
    <t>Look up the Region for the sales rep named in D6, using the Sales Rep Directory.</t>
  </si>
  <si>
    <t>XLOOKUP(lookup_value, lookup_array, return_array) -- lookup_array is the SalesRep column, return_array is the Region column.</t>
  </si>
  <si>
    <t>XLOOKUP with if_not_found</t>
  </si>
  <si>
    <t>Look up the Category for the product named in D7 (it does not exist in the list). Return 'Not Found' instead of an error.</t>
  </si>
  <si>
    <t>Bluetooth Speaker</t>
  </si>
  <si>
    <t>XLOOKUP has a 4th argument built for exactly this -- you don't need IFERROR at all here.</t>
  </si>
  <si>
    <t>IFERROR + VLOOKUP</t>
  </si>
  <si>
    <t>Look up the MonthlyTarget for the sales rep named in D8 (it may not exist). If not found, show 'Check Name'.</t>
  </si>
  <si>
    <t>Uche Nnamdi</t>
  </si>
  <si>
    <t>Wrap a normal VLOOKUP inside IFERROR(..., "Check Name").</t>
  </si>
  <si>
    <t>Two-way INDEX/MATCH</t>
  </si>
  <si>
    <t>On 'Sales Data', return the value for the OrderID in D9 at the column named in E9, using two MATCH functions inside one INDEX.</t>
  </si>
  <si>
    <t>INDEX(data_range, MATCH(row_value, id_column, 0), MATCH(column_value, header_row, 0)) -- match once for the row, once for the column.</t>
  </si>
  <si>
    <t>Approximate-match VLOOKUP</t>
  </si>
  <si>
    <t>Look up the Discount% for the Units value in D10, using the Discount Tiers table with a range (approximate) lookup.</t>
  </si>
  <si>
    <t>The 4th argument of VLOOKUP controls exact vs. approximate match. The tier table must stay sorted ascending for this to work.</t>
  </si>
  <si>
    <t>Nested IF</t>
  </si>
  <si>
    <t>Classify the Revenue in D11 as 'Small' (&lt;20,000), 'Medium' (20,000-80,000), or 'Large' (&gt;80,000).</t>
  </si>
  <si>
    <t>IF(condition1, result1, IF(condition2, result2, result3)) -- two IFs nested, three possible outcomes.</t>
  </si>
  <si>
    <t>Nested IF + AND</t>
  </si>
  <si>
    <t>Given Region in D12 and Revenue in E12, return 'Priority' if Region is 'Lagos' AND Revenue &gt; 50,000, else 'Standard'.</t>
  </si>
  <si>
    <t>IF(AND(condition1, condition2), "Priority", "Standard").</t>
  </si>
  <si>
    <t>XLOOKUP + IFERROR</t>
  </si>
  <si>
    <t>Look up the Manager for the sales rep named in D13 (may not exist). If not found, return 'Unassigned'.</t>
  </si>
  <si>
    <t>Either use XLOOKUP's built-in if_not_found argument, or wrap XLOOKUP in IFERROR -- try both and see which is cleaner.</t>
  </si>
  <si>
    <t>ANSWER KEY -- CHECK YOURSELF, DON'T COPY FIRST</t>
  </si>
  <si>
    <t>These are one correct way to solve each exercise -- not the only way. If your formula returns the same result via a different route, that's still correct.</t>
  </si>
  <si>
    <t>Working Formula (this cell computes and displays the real answer when opened)</t>
  </si>
  <si>
    <t>XLOOKUP version (for real Excel/Google Sheets)</t>
  </si>
  <si>
    <t>(same function used above)</t>
  </si>
  <si>
    <t>XLOOKUP(D6,'Reference Tables'!F5:F10,'Reference Tables'!G5:G10)</t>
  </si>
  <si>
    <t>XLOOKUP(D7,'Reference Tables'!A5:A14,'Reference Tables'!B5:B14,"Not Found")</t>
  </si>
  <si>
    <t>XLOOKUP(D13,'Reference Tables'!F5:F10,'Reference Tables'!I5:I10,"Unassigned")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</si>
</sst>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6B728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EF3C7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Border="1"/>
    <xf numFmtId="0" fontId="7" fillId="3" borderId="0" xfId="0" applyFont="1" applyFill="1" applyBorder="1"/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showGridLines="0" zoomScaleNormal="100" workbookViewId="0">
      <selection activeCell="A12" sqref="A12"/>
    </sheetView>
  </sheetViews>
  <sheetFormatPr defaultColWidth="8.7109375" defaultRowHeight="15" x14ac:dyDescent="0.25"/>
  <cols>
    <col min="1" max="1" width="95" customWidth="1"/>
  </cols>
  <sheetData>
    <row r="1" spans="1:1" ht="25.5" customHeight="1" x14ac:dyDescent="0.25">
      <c r="A1" s="1" t="s">
        <v>0</v>
      </c>
    </row>
    <row r="3" spans="1:1" ht="22.5" customHeight="1" x14ac:dyDescent="0.25">
      <c r="A3" s="2" t="s">
        <v>1</v>
      </c>
    </row>
    <row r="4" spans="1:1" ht="16.5" customHeight="1" x14ac:dyDescent="0.25">
      <c r="A4" s="2"/>
    </row>
    <row r="5" spans="1:1" ht="21.75" customHeight="1" x14ac:dyDescent="0.25">
      <c r="A5" s="3" t="s">
        <v>2</v>
      </c>
    </row>
    <row r="6" spans="1:1" ht="30.75" customHeight="1" x14ac:dyDescent="0.25">
      <c r="A6" s="2" t="s">
        <v>3</v>
      </c>
    </row>
    <row r="7" spans="1:1" ht="28.5" customHeight="1" x14ac:dyDescent="0.25">
      <c r="A7" s="2" t="s">
        <v>4</v>
      </c>
    </row>
    <row r="8" spans="1:1" ht="32.25" customHeight="1" x14ac:dyDescent="0.25">
      <c r="A8" s="2" t="s">
        <v>5</v>
      </c>
    </row>
    <row r="9" spans="1:1" ht="33" customHeight="1" x14ac:dyDescent="0.25">
      <c r="A9" s="2" t="s">
        <v>6</v>
      </c>
    </row>
    <row r="10" spans="1:1" ht="35.25" customHeight="1" x14ac:dyDescent="0.25">
      <c r="A10" s="2" t="s">
        <v>7</v>
      </c>
    </row>
    <row r="11" spans="1:1" ht="19.5" customHeight="1" x14ac:dyDescent="0.25">
      <c r="A11" s="2"/>
    </row>
    <row r="12" spans="1:1" ht="33" customHeight="1" x14ac:dyDescent="0.25">
      <c r="A12" s="3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zoomScaleNormal="100" workbookViewId="0">
      <pane ySplit="3" topLeftCell="A4" activePane="bottomLeft" state="frozen"/>
      <selection pane="bottomLeft" activeCell="F16" sqref="F16"/>
    </sheetView>
  </sheetViews>
  <sheetFormatPr defaultColWidth="8.7109375" defaultRowHeight="15" x14ac:dyDescent="0.25"/>
  <cols>
    <col min="1" max="1" width="11.7109375" customWidth="1"/>
    <col min="2" max="2" width="12" customWidth="1"/>
    <col min="3" max="3" width="10" customWidth="1"/>
    <col min="4" max="4" width="14" customWidth="1"/>
    <col min="5" max="5" width="16" customWidth="1"/>
    <col min="6" max="6" width="12" customWidth="1"/>
    <col min="7" max="7" width="8" customWidth="1"/>
    <col min="8" max="8" width="12" customWidth="1"/>
    <col min="9" max="9" width="14" customWidth="1"/>
    <col min="10" max="10" width="12" customWidth="1"/>
  </cols>
  <sheetData>
    <row r="1" spans="1:10" ht="21.75" customHeight="1" x14ac:dyDescent="0.25">
      <c r="A1" s="18" t="s">
        <v>9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ht="18" customHeight="1" x14ac:dyDescent="0.25">
      <c r="A4" s="5" t="s">
        <v>20</v>
      </c>
      <c r="B4" s="5" t="s">
        <v>21</v>
      </c>
      <c r="C4" s="5" t="s">
        <v>22</v>
      </c>
      <c r="D4" s="6" t="s">
        <v>23</v>
      </c>
      <c r="E4" s="6" t="s">
        <v>24</v>
      </c>
      <c r="F4" s="5" t="s">
        <v>25</v>
      </c>
      <c r="G4" s="5">
        <v>8</v>
      </c>
      <c r="H4" s="7">
        <v>8700</v>
      </c>
      <c r="I4" s="8">
        <f t="shared" ref="I4:I33" si="0">G4*H4</f>
        <v>69600</v>
      </c>
      <c r="J4" s="5" t="s">
        <v>26</v>
      </c>
    </row>
    <row r="5" spans="1:10" ht="24.75" customHeight="1" x14ac:dyDescent="0.25">
      <c r="A5" s="5" t="s">
        <v>27</v>
      </c>
      <c r="B5" s="5" t="s">
        <v>28</v>
      </c>
      <c r="C5" s="5" t="s">
        <v>29</v>
      </c>
      <c r="D5" s="6" t="s">
        <v>30</v>
      </c>
      <c r="E5" s="6" t="s">
        <v>31</v>
      </c>
      <c r="F5" s="5" t="s">
        <v>32</v>
      </c>
      <c r="G5" s="5">
        <v>3</v>
      </c>
      <c r="H5" s="7">
        <v>68000</v>
      </c>
      <c r="I5" s="8">
        <f t="shared" si="0"/>
        <v>204000</v>
      </c>
      <c r="J5" s="5" t="s">
        <v>26</v>
      </c>
    </row>
    <row r="6" spans="1:10" ht="18" customHeight="1" x14ac:dyDescent="0.25">
      <c r="A6" s="5" t="s">
        <v>33</v>
      </c>
      <c r="B6" s="5" t="s">
        <v>34</v>
      </c>
      <c r="C6" s="5" t="s">
        <v>22</v>
      </c>
      <c r="D6" s="6" t="s">
        <v>35</v>
      </c>
      <c r="E6" s="6" t="s">
        <v>36</v>
      </c>
      <c r="F6" s="5" t="s">
        <v>37</v>
      </c>
      <c r="G6" s="5">
        <v>10</v>
      </c>
      <c r="H6" s="7">
        <v>42000</v>
      </c>
      <c r="I6" s="8">
        <f t="shared" si="0"/>
        <v>420000</v>
      </c>
      <c r="J6" s="5" t="s">
        <v>38</v>
      </c>
    </row>
    <row r="7" spans="1:10" ht="18" customHeight="1" x14ac:dyDescent="0.25">
      <c r="A7" s="5" t="s">
        <v>39</v>
      </c>
      <c r="B7" s="5" t="s">
        <v>40</v>
      </c>
      <c r="C7" s="5" t="s">
        <v>22</v>
      </c>
      <c r="D7" s="6" t="s">
        <v>23</v>
      </c>
      <c r="E7" s="6" t="s">
        <v>41</v>
      </c>
      <c r="F7" s="5" t="s">
        <v>42</v>
      </c>
      <c r="G7" s="5">
        <v>5</v>
      </c>
      <c r="H7" s="7">
        <v>95000</v>
      </c>
      <c r="I7" s="8">
        <f t="shared" si="0"/>
        <v>475000</v>
      </c>
      <c r="J7" s="5" t="s">
        <v>43</v>
      </c>
    </row>
    <row r="8" spans="1:10" ht="24" customHeight="1" x14ac:dyDescent="0.25">
      <c r="A8" s="5" t="s">
        <v>44</v>
      </c>
      <c r="B8" s="5" t="s">
        <v>45</v>
      </c>
      <c r="C8" s="5" t="s">
        <v>29</v>
      </c>
      <c r="D8" s="6" t="s">
        <v>30</v>
      </c>
      <c r="E8" s="6" t="s">
        <v>46</v>
      </c>
      <c r="F8" s="5" t="s">
        <v>47</v>
      </c>
      <c r="G8" s="5">
        <v>12</v>
      </c>
      <c r="H8" s="7">
        <v>15400</v>
      </c>
      <c r="I8" s="8">
        <f t="shared" si="0"/>
        <v>184800</v>
      </c>
      <c r="J8" s="5" t="s">
        <v>26</v>
      </c>
    </row>
    <row r="9" spans="1:10" ht="27" customHeight="1" x14ac:dyDescent="0.25">
      <c r="A9" s="5" t="s">
        <v>48</v>
      </c>
      <c r="B9" s="5" t="s">
        <v>49</v>
      </c>
      <c r="C9" s="5" t="s">
        <v>22</v>
      </c>
      <c r="D9" s="6" t="s">
        <v>35</v>
      </c>
      <c r="E9" s="17" t="s">
        <v>50</v>
      </c>
      <c r="F9" s="5" t="s">
        <v>47</v>
      </c>
      <c r="G9" s="5">
        <v>7</v>
      </c>
      <c r="H9" s="7">
        <v>32000</v>
      </c>
      <c r="I9" s="8">
        <f t="shared" si="0"/>
        <v>224000</v>
      </c>
      <c r="J9" s="5" t="s">
        <v>26</v>
      </c>
    </row>
    <row r="10" spans="1:10" ht="24.75" customHeight="1" x14ac:dyDescent="0.25">
      <c r="A10" s="5" t="s">
        <v>51</v>
      </c>
      <c r="B10" s="5" t="s">
        <v>52</v>
      </c>
      <c r="C10" s="5" t="s">
        <v>22</v>
      </c>
      <c r="D10" s="6" t="s">
        <v>23</v>
      </c>
      <c r="E10" s="6" t="s">
        <v>53</v>
      </c>
      <c r="F10" s="5" t="s">
        <v>25</v>
      </c>
      <c r="G10" s="5">
        <v>2</v>
      </c>
      <c r="H10" s="7">
        <v>18500</v>
      </c>
      <c r="I10" s="8">
        <f t="shared" si="0"/>
        <v>37000</v>
      </c>
      <c r="J10" s="5" t="s">
        <v>26</v>
      </c>
    </row>
    <row r="11" spans="1:10" ht="24" customHeight="1" x14ac:dyDescent="0.25">
      <c r="A11" s="5" t="s">
        <v>54</v>
      </c>
      <c r="B11" s="5" t="s">
        <v>55</v>
      </c>
      <c r="C11" s="5" t="s">
        <v>29</v>
      </c>
      <c r="D11" s="6" t="s">
        <v>30</v>
      </c>
      <c r="E11" s="6" t="s">
        <v>56</v>
      </c>
      <c r="F11" s="5" t="s">
        <v>25</v>
      </c>
      <c r="G11" s="5">
        <v>9</v>
      </c>
      <c r="H11" s="7">
        <v>6300</v>
      </c>
      <c r="I11" s="8">
        <f t="shared" si="0"/>
        <v>56700</v>
      </c>
      <c r="J11" s="5" t="s">
        <v>38</v>
      </c>
    </row>
    <row r="12" spans="1:10" ht="18" customHeight="1" x14ac:dyDescent="0.25">
      <c r="A12" s="5" t="s">
        <v>57</v>
      </c>
      <c r="B12" s="5" t="s">
        <v>58</v>
      </c>
      <c r="C12" s="5" t="s">
        <v>22</v>
      </c>
      <c r="D12" s="6" t="s">
        <v>35</v>
      </c>
      <c r="E12" s="6" t="s">
        <v>59</v>
      </c>
      <c r="F12" s="5" t="s">
        <v>32</v>
      </c>
      <c r="G12" s="5">
        <v>4</v>
      </c>
      <c r="H12" s="7">
        <v>145000</v>
      </c>
      <c r="I12" s="8">
        <f t="shared" si="0"/>
        <v>580000</v>
      </c>
      <c r="J12" s="5" t="s">
        <v>43</v>
      </c>
    </row>
    <row r="13" spans="1:10" ht="18" customHeight="1" x14ac:dyDescent="0.25">
      <c r="A13" s="5" t="s">
        <v>60</v>
      </c>
      <c r="B13" s="5" t="s">
        <v>61</v>
      </c>
      <c r="C13" s="5" t="s">
        <v>22</v>
      </c>
      <c r="D13" s="6" t="s">
        <v>23</v>
      </c>
      <c r="E13" s="6" t="s">
        <v>62</v>
      </c>
      <c r="F13" s="5" t="s">
        <v>25</v>
      </c>
      <c r="G13" s="5">
        <v>11</v>
      </c>
      <c r="H13" s="7">
        <v>5200</v>
      </c>
      <c r="I13" s="8">
        <f t="shared" si="0"/>
        <v>57200</v>
      </c>
      <c r="J13" s="5" t="s">
        <v>26</v>
      </c>
    </row>
    <row r="14" spans="1:10" ht="25.5" x14ac:dyDescent="0.25">
      <c r="A14" s="5" t="s">
        <v>63</v>
      </c>
      <c r="B14" s="5" t="s">
        <v>64</v>
      </c>
      <c r="C14" s="5" t="s">
        <v>29</v>
      </c>
      <c r="D14" s="6" t="s">
        <v>30</v>
      </c>
      <c r="E14" s="6" t="s">
        <v>24</v>
      </c>
      <c r="F14" s="5" t="s">
        <v>25</v>
      </c>
      <c r="G14" s="5">
        <v>6</v>
      </c>
      <c r="H14" s="7">
        <v>8700</v>
      </c>
      <c r="I14" s="8">
        <f t="shared" si="0"/>
        <v>52200</v>
      </c>
      <c r="J14" s="5" t="s">
        <v>26</v>
      </c>
    </row>
    <row r="15" spans="1:10" ht="18" customHeight="1" x14ac:dyDescent="0.25">
      <c r="A15" s="5" t="s">
        <v>65</v>
      </c>
      <c r="B15" s="5" t="s">
        <v>66</v>
      </c>
      <c r="C15" s="5" t="s">
        <v>22</v>
      </c>
      <c r="D15" s="6" t="s">
        <v>35</v>
      </c>
      <c r="E15" s="6" t="s">
        <v>31</v>
      </c>
      <c r="F15" s="5" t="s">
        <v>32</v>
      </c>
      <c r="G15" s="5">
        <v>1</v>
      </c>
      <c r="H15" s="7">
        <v>68000</v>
      </c>
      <c r="I15" s="8">
        <f t="shared" si="0"/>
        <v>68000</v>
      </c>
      <c r="J15" s="5" t="s">
        <v>26</v>
      </c>
    </row>
    <row r="16" spans="1:10" ht="18" customHeight="1" x14ac:dyDescent="0.25">
      <c r="A16" s="5" t="s">
        <v>67</v>
      </c>
      <c r="B16" s="5" t="s">
        <v>68</v>
      </c>
      <c r="C16" s="5" t="s">
        <v>22</v>
      </c>
      <c r="D16" s="6" t="s">
        <v>23</v>
      </c>
      <c r="E16" s="6" t="s">
        <v>36</v>
      </c>
      <c r="F16" s="5" t="s">
        <v>37</v>
      </c>
      <c r="G16" s="5">
        <v>8</v>
      </c>
      <c r="H16" s="7">
        <v>42000</v>
      </c>
      <c r="I16" s="8">
        <f t="shared" si="0"/>
        <v>336000</v>
      </c>
      <c r="J16" s="5" t="s">
        <v>38</v>
      </c>
    </row>
    <row r="17" spans="1:10" ht="18" customHeight="1" x14ac:dyDescent="0.25">
      <c r="A17" s="5" t="s">
        <v>69</v>
      </c>
      <c r="B17" s="5" t="s">
        <v>70</v>
      </c>
      <c r="C17" s="5" t="s">
        <v>29</v>
      </c>
      <c r="D17" s="6" t="s">
        <v>30</v>
      </c>
      <c r="E17" s="6" t="s">
        <v>41</v>
      </c>
      <c r="F17" s="5" t="s">
        <v>42</v>
      </c>
      <c r="G17" s="5">
        <v>3</v>
      </c>
      <c r="H17" s="7">
        <v>95000</v>
      </c>
      <c r="I17" s="8">
        <f t="shared" si="0"/>
        <v>285000</v>
      </c>
      <c r="J17" s="5" t="s">
        <v>43</v>
      </c>
    </row>
    <row r="18" spans="1:10" ht="18" customHeight="1" x14ac:dyDescent="0.25">
      <c r="A18" s="5" t="s">
        <v>71</v>
      </c>
      <c r="B18" s="5" t="s">
        <v>72</v>
      </c>
      <c r="C18" s="5" t="s">
        <v>22</v>
      </c>
      <c r="D18" s="6" t="s">
        <v>35</v>
      </c>
      <c r="E18" s="6" t="s">
        <v>46</v>
      </c>
      <c r="F18" s="5" t="s">
        <v>47</v>
      </c>
      <c r="G18" s="5">
        <v>10</v>
      </c>
      <c r="H18" s="7">
        <v>15400</v>
      </c>
      <c r="I18" s="8">
        <f t="shared" si="0"/>
        <v>154000</v>
      </c>
      <c r="J18" s="5" t="s">
        <v>26</v>
      </c>
    </row>
    <row r="19" spans="1:10" ht="25.5" customHeight="1" x14ac:dyDescent="0.25">
      <c r="A19" s="5" t="s">
        <v>73</v>
      </c>
      <c r="B19" s="5" t="s">
        <v>74</v>
      </c>
      <c r="C19" s="5" t="s">
        <v>22</v>
      </c>
      <c r="D19" s="6" t="s">
        <v>23</v>
      </c>
      <c r="E19" s="6" t="s">
        <v>50</v>
      </c>
      <c r="F19" s="5" t="s">
        <v>47</v>
      </c>
      <c r="G19" s="5">
        <v>5</v>
      </c>
      <c r="H19" s="7">
        <v>32000</v>
      </c>
      <c r="I19" s="8">
        <f t="shared" si="0"/>
        <v>160000</v>
      </c>
      <c r="J19" s="5" t="s">
        <v>26</v>
      </c>
    </row>
    <row r="20" spans="1:10" ht="25.5" customHeight="1" x14ac:dyDescent="0.25">
      <c r="A20" s="5" t="s">
        <v>75</v>
      </c>
      <c r="B20" s="5" t="s">
        <v>76</v>
      </c>
      <c r="C20" s="5" t="s">
        <v>29</v>
      </c>
      <c r="D20" s="6" t="s">
        <v>30</v>
      </c>
      <c r="E20" s="6" t="s">
        <v>53</v>
      </c>
      <c r="F20" s="5" t="s">
        <v>25</v>
      </c>
      <c r="G20" s="5">
        <v>12</v>
      </c>
      <c r="H20" s="7">
        <v>18500</v>
      </c>
      <c r="I20" s="8">
        <f t="shared" si="0"/>
        <v>222000</v>
      </c>
      <c r="J20" s="5" t="s">
        <v>26</v>
      </c>
    </row>
    <row r="21" spans="1:10" ht="18" customHeight="1" x14ac:dyDescent="0.25">
      <c r="A21" s="5" t="s">
        <v>77</v>
      </c>
      <c r="B21" s="5" t="s">
        <v>78</v>
      </c>
      <c r="C21" s="5" t="s">
        <v>22</v>
      </c>
      <c r="D21" s="6" t="s">
        <v>35</v>
      </c>
      <c r="E21" s="6" t="s">
        <v>56</v>
      </c>
      <c r="F21" s="5" t="s">
        <v>25</v>
      </c>
      <c r="G21" s="5">
        <v>7</v>
      </c>
      <c r="H21" s="7">
        <v>6300</v>
      </c>
      <c r="I21" s="8">
        <f t="shared" si="0"/>
        <v>44100</v>
      </c>
      <c r="J21" s="5" t="s">
        <v>38</v>
      </c>
    </row>
    <row r="22" spans="1:10" ht="18" customHeight="1" x14ac:dyDescent="0.25">
      <c r="A22" s="5" t="s">
        <v>79</v>
      </c>
      <c r="B22" s="5" t="s">
        <v>80</v>
      </c>
      <c r="C22" s="5" t="s">
        <v>22</v>
      </c>
      <c r="D22" s="6" t="s">
        <v>23</v>
      </c>
      <c r="E22" s="6" t="s">
        <v>59</v>
      </c>
      <c r="F22" s="5" t="s">
        <v>32</v>
      </c>
      <c r="G22" s="5">
        <v>2</v>
      </c>
      <c r="H22" s="7">
        <v>145000</v>
      </c>
      <c r="I22" s="8">
        <f t="shared" si="0"/>
        <v>290000</v>
      </c>
      <c r="J22" s="5" t="s">
        <v>43</v>
      </c>
    </row>
    <row r="23" spans="1:10" ht="26.25" customHeight="1" x14ac:dyDescent="0.25">
      <c r="A23" s="5" t="s">
        <v>81</v>
      </c>
      <c r="B23" s="5" t="s">
        <v>82</v>
      </c>
      <c r="C23" s="5" t="s">
        <v>29</v>
      </c>
      <c r="D23" s="6" t="s">
        <v>30</v>
      </c>
      <c r="E23" s="6" t="s">
        <v>62</v>
      </c>
      <c r="F23" s="5" t="s">
        <v>25</v>
      </c>
      <c r="G23" s="5">
        <v>9</v>
      </c>
      <c r="H23" s="7">
        <v>5200</v>
      </c>
      <c r="I23" s="8">
        <f t="shared" si="0"/>
        <v>46800</v>
      </c>
      <c r="J23" s="5" t="s">
        <v>26</v>
      </c>
    </row>
    <row r="24" spans="1:10" ht="18" customHeight="1" x14ac:dyDescent="0.25">
      <c r="A24" s="5" t="s">
        <v>83</v>
      </c>
      <c r="B24" s="5" t="s">
        <v>84</v>
      </c>
      <c r="C24" s="5" t="s">
        <v>22</v>
      </c>
      <c r="D24" s="6" t="s">
        <v>35</v>
      </c>
      <c r="E24" s="6" t="s">
        <v>24</v>
      </c>
      <c r="F24" s="5" t="s">
        <v>25</v>
      </c>
      <c r="G24" s="5">
        <v>4</v>
      </c>
      <c r="H24" s="7">
        <v>8700</v>
      </c>
      <c r="I24" s="8">
        <f t="shared" si="0"/>
        <v>34800</v>
      </c>
      <c r="J24" s="5" t="s">
        <v>26</v>
      </c>
    </row>
    <row r="25" spans="1:10" ht="18" customHeight="1" x14ac:dyDescent="0.25">
      <c r="A25" s="5" t="s">
        <v>85</v>
      </c>
      <c r="B25" s="5" t="s">
        <v>86</v>
      </c>
      <c r="C25" s="5" t="s">
        <v>22</v>
      </c>
      <c r="D25" s="6" t="s">
        <v>23</v>
      </c>
      <c r="E25" s="6" t="s">
        <v>31</v>
      </c>
      <c r="F25" s="5" t="s">
        <v>32</v>
      </c>
      <c r="G25" s="5">
        <v>11</v>
      </c>
      <c r="H25" s="7">
        <v>68000</v>
      </c>
      <c r="I25" s="8">
        <f t="shared" si="0"/>
        <v>748000</v>
      </c>
      <c r="J25" s="5" t="s">
        <v>26</v>
      </c>
    </row>
    <row r="26" spans="1:10" ht="27" customHeight="1" x14ac:dyDescent="0.25">
      <c r="A26" s="5" t="s">
        <v>87</v>
      </c>
      <c r="B26" s="5" t="s">
        <v>88</v>
      </c>
      <c r="C26" s="5" t="s">
        <v>29</v>
      </c>
      <c r="D26" s="6" t="s">
        <v>30</v>
      </c>
      <c r="E26" s="6" t="s">
        <v>36</v>
      </c>
      <c r="F26" s="5" t="s">
        <v>37</v>
      </c>
      <c r="G26" s="5">
        <v>6</v>
      </c>
      <c r="H26" s="7">
        <v>42000</v>
      </c>
      <c r="I26" s="8">
        <f t="shared" si="0"/>
        <v>252000</v>
      </c>
      <c r="J26" s="5" t="s">
        <v>38</v>
      </c>
    </row>
    <row r="27" spans="1:10" ht="18" customHeight="1" x14ac:dyDescent="0.25">
      <c r="A27" s="5" t="s">
        <v>89</v>
      </c>
      <c r="B27" s="5" t="s">
        <v>90</v>
      </c>
      <c r="C27" s="5" t="s">
        <v>22</v>
      </c>
      <c r="D27" s="6" t="s">
        <v>35</v>
      </c>
      <c r="E27" s="6" t="s">
        <v>41</v>
      </c>
      <c r="F27" s="5" t="s">
        <v>42</v>
      </c>
      <c r="G27" s="5">
        <v>1</v>
      </c>
      <c r="H27" s="7">
        <v>95000</v>
      </c>
      <c r="I27" s="8">
        <f t="shared" si="0"/>
        <v>95000</v>
      </c>
      <c r="J27" s="5" t="s">
        <v>43</v>
      </c>
    </row>
    <row r="28" spans="1:10" ht="18" customHeight="1" x14ac:dyDescent="0.25">
      <c r="A28" s="5" t="s">
        <v>91</v>
      </c>
      <c r="B28" s="5" t="s">
        <v>92</v>
      </c>
      <c r="C28" s="5" t="s">
        <v>22</v>
      </c>
      <c r="D28" s="6" t="s">
        <v>23</v>
      </c>
      <c r="E28" s="6" t="s">
        <v>46</v>
      </c>
      <c r="F28" s="5" t="s">
        <v>47</v>
      </c>
      <c r="G28" s="5">
        <v>8</v>
      </c>
      <c r="H28" s="7">
        <v>15400</v>
      </c>
      <c r="I28" s="8">
        <f t="shared" si="0"/>
        <v>123200</v>
      </c>
      <c r="J28" s="5" t="s">
        <v>26</v>
      </c>
    </row>
    <row r="29" spans="1:10" ht="27.75" customHeight="1" x14ac:dyDescent="0.25">
      <c r="A29" s="5" t="s">
        <v>93</v>
      </c>
      <c r="B29" s="5" t="s">
        <v>94</v>
      </c>
      <c r="C29" s="5" t="s">
        <v>29</v>
      </c>
      <c r="D29" s="6" t="s">
        <v>30</v>
      </c>
      <c r="E29" s="6" t="s">
        <v>50</v>
      </c>
      <c r="F29" s="5" t="s">
        <v>47</v>
      </c>
      <c r="G29" s="5">
        <v>3</v>
      </c>
      <c r="H29" s="7">
        <v>32000</v>
      </c>
      <c r="I29" s="8">
        <f t="shared" si="0"/>
        <v>96000</v>
      </c>
      <c r="J29" s="5" t="s">
        <v>26</v>
      </c>
    </row>
    <row r="30" spans="1:10" ht="24" customHeight="1" x14ac:dyDescent="0.25">
      <c r="A30" s="5" t="s">
        <v>95</v>
      </c>
      <c r="B30" s="5" t="s">
        <v>96</v>
      </c>
      <c r="C30" s="5" t="s">
        <v>22</v>
      </c>
      <c r="D30" s="6" t="s">
        <v>35</v>
      </c>
      <c r="E30" s="6" t="s">
        <v>53</v>
      </c>
      <c r="F30" s="5" t="s">
        <v>25</v>
      </c>
      <c r="G30" s="5">
        <v>10</v>
      </c>
      <c r="H30" s="7">
        <v>18500</v>
      </c>
      <c r="I30" s="8">
        <f t="shared" si="0"/>
        <v>185000</v>
      </c>
      <c r="J30" s="5" t="s">
        <v>26</v>
      </c>
    </row>
    <row r="31" spans="1:10" ht="18" customHeight="1" x14ac:dyDescent="0.25">
      <c r="A31" s="5" t="s">
        <v>97</v>
      </c>
      <c r="B31" s="5" t="s">
        <v>98</v>
      </c>
      <c r="C31" s="5" t="s">
        <v>22</v>
      </c>
      <c r="D31" s="6" t="s">
        <v>23</v>
      </c>
      <c r="E31" s="6" t="s">
        <v>56</v>
      </c>
      <c r="F31" s="5" t="s">
        <v>25</v>
      </c>
      <c r="G31" s="5">
        <v>5</v>
      </c>
      <c r="H31" s="7">
        <v>6300</v>
      </c>
      <c r="I31" s="8">
        <f t="shared" si="0"/>
        <v>31500</v>
      </c>
      <c r="J31" s="5" t="s">
        <v>38</v>
      </c>
    </row>
    <row r="32" spans="1:10" ht="24.75" customHeight="1" x14ac:dyDescent="0.25">
      <c r="A32" s="5" t="s">
        <v>99</v>
      </c>
      <c r="B32" s="5" t="s">
        <v>21</v>
      </c>
      <c r="C32" s="5" t="s">
        <v>29</v>
      </c>
      <c r="D32" s="6" t="s">
        <v>30</v>
      </c>
      <c r="E32" s="6" t="s">
        <v>59</v>
      </c>
      <c r="F32" s="5" t="s">
        <v>32</v>
      </c>
      <c r="G32" s="5">
        <v>12</v>
      </c>
      <c r="H32" s="7">
        <v>145000</v>
      </c>
      <c r="I32" s="8">
        <f t="shared" si="0"/>
        <v>1740000</v>
      </c>
      <c r="J32" s="5" t="s">
        <v>43</v>
      </c>
    </row>
    <row r="33" spans="1:10" ht="18" customHeight="1" x14ac:dyDescent="0.25">
      <c r="A33" s="5" t="s">
        <v>100</v>
      </c>
      <c r="B33" s="5" t="s">
        <v>28</v>
      </c>
      <c r="C33" s="5" t="s">
        <v>22</v>
      </c>
      <c r="D33" s="6" t="s">
        <v>35</v>
      </c>
      <c r="E33" s="6" t="s">
        <v>62</v>
      </c>
      <c r="F33" s="5" t="s">
        <v>25</v>
      </c>
      <c r="G33" s="5">
        <v>7</v>
      </c>
      <c r="H33" s="7">
        <v>5200</v>
      </c>
      <c r="I33" s="8">
        <f t="shared" si="0"/>
        <v>36400</v>
      </c>
      <c r="J33" s="5" t="s">
        <v>26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zoomScaleNormal="100" workbookViewId="0">
      <pane ySplit="4" topLeftCell="A10" activePane="bottomLeft" state="frozen"/>
      <selection pane="bottomLeft" activeCell="F17" sqref="F17"/>
    </sheetView>
  </sheetViews>
  <sheetFormatPr defaultColWidth="8.7109375" defaultRowHeight="15" x14ac:dyDescent="0.25"/>
  <cols>
    <col min="1" max="1" width="22" customWidth="1"/>
    <col min="2" max="2" width="16" customWidth="1"/>
    <col min="3" max="4" width="14" customWidth="1"/>
    <col min="5" max="5" width="6" customWidth="1"/>
    <col min="6" max="6" width="16" customWidth="1"/>
    <col min="7" max="7" width="14" customWidth="1"/>
    <col min="8" max="8" width="14.85546875" customWidth="1"/>
    <col min="9" max="9" width="11.5703125" customWidth="1"/>
    <col min="10" max="10" width="14" customWidth="1"/>
    <col min="11" max="11" width="12" customWidth="1"/>
  </cols>
  <sheetData>
    <row r="1" spans="1:11" ht="21.75" customHeight="1" x14ac:dyDescent="0.25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 x14ac:dyDescent="0.25">
      <c r="A3" s="19" t="s">
        <v>102</v>
      </c>
      <c r="B3" s="19"/>
      <c r="C3" s="19"/>
      <c r="D3" s="19"/>
      <c r="F3" s="19" t="s">
        <v>103</v>
      </c>
      <c r="G3" s="19"/>
      <c r="H3" s="19"/>
      <c r="I3" s="19"/>
    </row>
    <row r="4" spans="1:11" x14ac:dyDescent="0.25">
      <c r="A4" s="4" t="s">
        <v>14</v>
      </c>
      <c r="B4" s="4" t="s">
        <v>15</v>
      </c>
      <c r="C4" s="4" t="s">
        <v>17</v>
      </c>
      <c r="D4" s="4" t="s">
        <v>104</v>
      </c>
      <c r="F4" s="4" t="s">
        <v>13</v>
      </c>
      <c r="G4" s="4" t="s">
        <v>12</v>
      </c>
      <c r="H4" s="4" t="s">
        <v>105</v>
      </c>
      <c r="I4" s="4" t="s">
        <v>106</v>
      </c>
    </row>
    <row r="5" spans="1:11" x14ac:dyDescent="0.25">
      <c r="A5" s="6" t="s">
        <v>62</v>
      </c>
      <c r="B5" s="5" t="s">
        <v>25</v>
      </c>
      <c r="C5" s="7">
        <v>5200</v>
      </c>
      <c r="D5" s="5">
        <v>10</v>
      </c>
      <c r="F5" s="6" t="s">
        <v>35</v>
      </c>
      <c r="G5" s="5" t="s">
        <v>22</v>
      </c>
      <c r="H5" s="7">
        <v>500000</v>
      </c>
      <c r="I5" s="6" t="s">
        <v>107</v>
      </c>
    </row>
    <row r="6" spans="1:11" x14ac:dyDescent="0.25">
      <c r="A6" s="6" t="s">
        <v>53</v>
      </c>
      <c r="B6" s="5" t="s">
        <v>25</v>
      </c>
      <c r="C6" s="7">
        <v>18500</v>
      </c>
      <c r="D6" s="5">
        <v>11</v>
      </c>
      <c r="F6" s="6" t="s">
        <v>108</v>
      </c>
      <c r="G6" s="5" t="s">
        <v>109</v>
      </c>
      <c r="H6" s="7">
        <v>525000</v>
      </c>
      <c r="I6" s="6" t="s">
        <v>107</v>
      </c>
    </row>
    <row r="7" spans="1:11" x14ac:dyDescent="0.25">
      <c r="A7" s="6" t="s">
        <v>41</v>
      </c>
      <c r="B7" s="5" t="s">
        <v>42</v>
      </c>
      <c r="C7" s="7">
        <v>95000</v>
      </c>
      <c r="D7" s="5">
        <v>12</v>
      </c>
      <c r="F7" s="6" t="s">
        <v>23</v>
      </c>
      <c r="G7" s="5" t="s">
        <v>22</v>
      </c>
      <c r="H7" s="7">
        <v>550000</v>
      </c>
      <c r="I7" s="6" t="s">
        <v>110</v>
      </c>
    </row>
    <row r="8" spans="1:11" x14ac:dyDescent="0.25">
      <c r="A8" s="6" t="s">
        <v>24</v>
      </c>
      <c r="B8" s="5" t="s">
        <v>25</v>
      </c>
      <c r="C8" s="7">
        <v>8700</v>
      </c>
      <c r="D8" s="5">
        <v>13</v>
      </c>
      <c r="F8" s="6" t="s">
        <v>111</v>
      </c>
      <c r="G8" s="5" t="s">
        <v>112</v>
      </c>
      <c r="H8" s="7">
        <v>575000</v>
      </c>
      <c r="I8" s="6" t="s">
        <v>110</v>
      </c>
    </row>
    <row r="9" spans="1:11" x14ac:dyDescent="0.25">
      <c r="A9" s="6" t="s">
        <v>56</v>
      </c>
      <c r="B9" s="5" t="s">
        <v>25</v>
      </c>
      <c r="C9" s="7">
        <v>6300</v>
      </c>
      <c r="D9" s="5">
        <v>14</v>
      </c>
      <c r="F9" s="6" t="s">
        <v>30</v>
      </c>
      <c r="G9" s="5" t="s">
        <v>29</v>
      </c>
      <c r="H9" s="7">
        <v>600000</v>
      </c>
      <c r="I9" s="6" t="s">
        <v>107</v>
      </c>
    </row>
    <row r="10" spans="1:11" x14ac:dyDescent="0.25">
      <c r="A10" s="6" t="s">
        <v>46</v>
      </c>
      <c r="B10" s="5" t="s">
        <v>47</v>
      </c>
      <c r="C10" s="7">
        <v>15400</v>
      </c>
      <c r="D10" s="5">
        <v>15</v>
      </c>
      <c r="F10" s="6" t="s">
        <v>113</v>
      </c>
      <c r="G10" s="5" t="s">
        <v>109</v>
      </c>
      <c r="H10" s="7">
        <v>625000</v>
      </c>
      <c r="I10" s="6" t="s">
        <v>110</v>
      </c>
    </row>
    <row r="11" spans="1:11" x14ac:dyDescent="0.25">
      <c r="A11" s="6" t="s">
        <v>31</v>
      </c>
      <c r="B11" s="5" t="s">
        <v>32</v>
      </c>
      <c r="C11" s="7">
        <v>68000</v>
      </c>
      <c r="D11" s="5">
        <v>16</v>
      </c>
    </row>
    <row r="12" spans="1:11" x14ac:dyDescent="0.25">
      <c r="A12" s="6" t="s">
        <v>59</v>
      </c>
      <c r="B12" s="5" t="s">
        <v>32</v>
      </c>
      <c r="C12" s="7">
        <v>145000</v>
      </c>
      <c r="D12" s="5">
        <v>17</v>
      </c>
    </row>
    <row r="13" spans="1:11" ht="25.5" x14ac:dyDescent="0.25">
      <c r="A13" s="6" t="s">
        <v>50</v>
      </c>
      <c r="B13" s="5" t="s">
        <v>47</v>
      </c>
      <c r="C13" s="7">
        <v>32000</v>
      </c>
      <c r="D13" s="5">
        <v>18</v>
      </c>
    </row>
    <row r="14" spans="1:11" x14ac:dyDescent="0.25">
      <c r="A14" s="6" t="s">
        <v>36</v>
      </c>
      <c r="B14" s="5" t="s">
        <v>37</v>
      </c>
      <c r="C14" s="7">
        <v>42000</v>
      </c>
      <c r="D14" s="5">
        <v>19</v>
      </c>
    </row>
    <row r="17" spans="1:2" x14ac:dyDescent="0.25">
      <c r="A17" s="19" t="s">
        <v>114</v>
      </c>
      <c r="B17" s="19"/>
    </row>
    <row r="18" spans="1:2" x14ac:dyDescent="0.25">
      <c r="A18" s="4" t="s">
        <v>115</v>
      </c>
      <c r="B18" s="4" t="s">
        <v>116</v>
      </c>
    </row>
    <row r="19" spans="1:2" x14ac:dyDescent="0.25">
      <c r="A19" s="5">
        <v>0</v>
      </c>
      <c r="B19" s="9">
        <v>0</v>
      </c>
    </row>
    <row r="20" spans="1:2" x14ac:dyDescent="0.25">
      <c r="A20" s="5">
        <v>5</v>
      </c>
      <c r="B20" s="9">
        <v>0.05</v>
      </c>
    </row>
    <row r="21" spans="1:2" x14ac:dyDescent="0.25">
      <c r="A21" s="5">
        <v>8</v>
      </c>
      <c r="B21" s="9">
        <v>0.08</v>
      </c>
    </row>
    <row r="22" spans="1:2" x14ac:dyDescent="0.25">
      <c r="A22" s="5">
        <v>10</v>
      </c>
      <c r="B22" s="9">
        <v>0.12</v>
      </c>
    </row>
  </sheetData>
  <mergeCells count="4">
    <mergeCell ref="A1:K1"/>
    <mergeCell ref="A3:D3"/>
    <mergeCell ref="F3:I3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tabSelected="1" zoomScaleNormal="100" workbookViewId="0">
      <pane ySplit="3" topLeftCell="A9" activePane="bottomLeft" state="frozen"/>
      <selection pane="bottomLeft" activeCell="F13" sqref="F13"/>
    </sheetView>
  </sheetViews>
  <sheetFormatPr defaultColWidth="8.7109375" defaultRowHeight="15" x14ac:dyDescent="0.25"/>
  <cols>
    <col min="1" max="1" width="5" customWidth="1"/>
    <col min="2" max="2" width="16" customWidth="1"/>
    <col min="3" max="3" width="46" customWidth="1"/>
    <col min="4" max="5" width="16" customWidth="1"/>
    <col min="6" max="6" width="40" customWidth="1"/>
    <col min="7" max="7" width="42" customWidth="1"/>
  </cols>
  <sheetData>
    <row r="1" spans="1:7" ht="21.75" customHeight="1" x14ac:dyDescent="0.25">
      <c r="A1" s="18" t="s">
        <v>117</v>
      </c>
      <c r="B1" s="18"/>
      <c r="C1" s="18"/>
      <c r="D1" s="18"/>
      <c r="E1" s="18"/>
      <c r="F1" s="18"/>
      <c r="G1" s="18"/>
    </row>
    <row r="2" spans="1:7" x14ac:dyDescent="0.25">
      <c r="A2" s="20" t="s">
        <v>118</v>
      </c>
      <c r="B2" s="20"/>
      <c r="C2" s="20"/>
      <c r="D2" s="20"/>
      <c r="E2" s="20"/>
      <c r="F2" s="20"/>
      <c r="G2" s="20"/>
    </row>
    <row r="3" spans="1:7" x14ac:dyDescent="0.25">
      <c r="A3" s="4" t="s">
        <v>119</v>
      </c>
      <c r="B3" s="4" t="s">
        <v>120</v>
      </c>
      <c r="C3" s="4" t="s">
        <v>121</v>
      </c>
      <c r="D3" s="4" t="s">
        <v>122</v>
      </c>
      <c r="E3" s="4" t="s">
        <v>123</v>
      </c>
      <c r="F3" s="4" t="s">
        <v>124</v>
      </c>
      <c r="G3" s="4" t="s">
        <v>125</v>
      </c>
    </row>
    <row r="4" spans="1:7" ht="54.75" customHeight="1" x14ac:dyDescent="0.25">
      <c r="A4" s="10">
        <v>1</v>
      </c>
      <c r="B4" s="11" t="s">
        <v>126</v>
      </c>
      <c r="C4" s="6" t="s">
        <v>127</v>
      </c>
      <c r="D4" s="12" t="s">
        <v>41</v>
      </c>
      <c r="E4" s="12"/>
      <c r="F4" s="13" t="str">
        <f>VLOOKUP(D4,'Reference Tables'!A4:B14,2,)</f>
        <v>Displays</v>
      </c>
      <c r="G4" s="6" t="s">
        <v>128</v>
      </c>
    </row>
    <row r="5" spans="1:7" ht="54.75" customHeight="1" x14ac:dyDescent="0.25">
      <c r="A5" s="10">
        <v>2</v>
      </c>
      <c r="B5" s="11" t="s">
        <v>129</v>
      </c>
      <c r="C5" s="6" t="s">
        <v>130</v>
      </c>
      <c r="D5" s="12" t="s">
        <v>36</v>
      </c>
      <c r="E5" s="12"/>
      <c r="F5" s="13">
        <f>INDEX('Reference Tables'!C4:C14,MATCH(Exercises!D5,'Reference Tables'!A4:A14,0))</f>
        <v>42000</v>
      </c>
      <c r="G5" s="6" t="s">
        <v>131</v>
      </c>
    </row>
    <row r="6" spans="1:7" ht="54.75" customHeight="1" x14ac:dyDescent="0.25">
      <c r="A6" s="10">
        <v>3</v>
      </c>
      <c r="B6" s="11" t="s">
        <v>132</v>
      </c>
      <c r="C6" s="6" t="s">
        <v>133</v>
      </c>
      <c r="D6" s="12" t="s">
        <v>23</v>
      </c>
      <c r="E6" s="12"/>
      <c r="F6" s="13" t="str">
        <f>_xlfn.XLOOKUP(D6,'Reference Tables'!F4:F10,'Reference Tables'!G4:G10)</f>
        <v>Lagos</v>
      </c>
      <c r="G6" s="6" t="s">
        <v>134</v>
      </c>
    </row>
    <row r="7" spans="1:7" ht="54.75" customHeight="1" x14ac:dyDescent="0.25">
      <c r="A7" s="10">
        <v>4</v>
      </c>
      <c r="B7" s="11" t="s">
        <v>135</v>
      </c>
      <c r="C7" s="6" t="s">
        <v>136</v>
      </c>
      <c r="D7" s="12" t="s">
        <v>137</v>
      </c>
      <c r="E7" s="12"/>
      <c r="F7" s="13" t="str">
        <f>_xlfn.XLOOKUP(D7,'Reference Tables'!A4:A14,'Reference Tables'!B4:B14,"Not Found")</f>
        <v>Not Found</v>
      </c>
      <c r="G7" s="6" t="s">
        <v>138</v>
      </c>
    </row>
    <row r="8" spans="1:7" ht="54.75" customHeight="1" x14ac:dyDescent="0.25">
      <c r="A8" s="10">
        <v>5</v>
      </c>
      <c r="B8" s="11" t="s">
        <v>139</v>
      </c>
      <c r="C8" s="6" t="s">
        <v>140</v>
      </c>
      <c r="D8" s="12" t="s">
        <v>141</v>
      </c>
      <c r="E8" s="12"/>
      <c r="F8" s="13" t="str">
        <f>IFERROR(VLOOKUP(D8,'Reference Tables'!F4:H10,3,FALSE),"Check Name")</f>
        <v>Check Name</v>
      </c>
      <c r="G8" s="6" t="s">
        <v>142</v>
      </c>
    </row>
    <row r="9" spans="1:7" ht="54.75" customHeight="1" x14ac:dyDescent="0.25">
      <c r="A9" s="10">
        <v>6</v>
      </c>
      <c r="B9" s="11" t="s">
        <v>143</v>
      </c>
      <c r="C9" s="17" t="s">
        <v>144</v>
      </c>
      <c r="D9" s="12" t="s">
        <v>71</v>
      </c>
      <c r="E9" s="12" t="s">
        <v>18</v>
      </c>
      <c r="F9" s="13">
        <f>INDEX('Sales Data'!A3:J33,MATCH(Exercises!D9,'Sales Data'!A3:A33,0),MATCH(Exercises!E9,'Sales Data'!A3:J3,0))</f>
        <v>154000</v>
      </c>
      <c r="G9" s="6" t="s">
        <v>145</v>
      </c>
    </row>
    <row r="10" spans="1:7" ht="54.75" customHeight="1" x14ac:dyDescent="0.25">
      <c r="A10" s="10">
        <v>7</v>
      </c>
      <c r="B10" s="11" t="s">
        <v>146</v>
      </c>
      <c r="C10" s="6" t="s">
        <v>147</v>
      </c>
      <c r="D10" s="12">
        <v>9</v>
      </c>
      <c r="E10" s="12"/>
      <c r="F10" s="13">
        <f>VLOOKUP(D10,'Reference Tables'!A18:B22,2,TRUE)</f>
        <v>0.08</v>
      </c>
      <c r="G10" s="6" t="s">
        <v>148</v>
      </c>
    </row>
    <row r="11" spans="1:7" ht="54.75" customHeight="1" x14ac:dyDescent="0.25">
      <c r="A11" s="10">
        <v>8</v>
      </c>
      <c r="B11" s="11" t="s">
        <v>149</v>
      </c>
      <c r="C11" s="6" t="s">
        <v>150</v>
      </c>
      <c r="D11" s="12">
        <v>45000</v>
      </c>
      <c r="E11" s="12"/>
      <c r="F11" s="13" t="str">
        <f>IF(D11&lt;20000,"small",IF(D11&lt;=80000,"Medium","Large"))</f>
        <v>Medium</v>
      </c>
      <c r="G11" s="6" t="s">
        <v>151</v>
      </c>
    </row>
    <row r="12" spans="1:7" ht="54.75" customHeight="1" x14ac:dyDescent="0.25">
      <c r="A12" s="10">
        <v>9</v>
      </c>
      <c r="B12" s="11" t="s">
        <v>152</v>
      </c>
      <c r="C12" s="6" t="s">
        <v>153</v>
      </c>
      <c r="D12" s="12" t="s">
        <v>22</v>
      </c>
      <c r="E12" s="12">
        <v>62000</v>
      </c>
      <c r="F12" s="13" t="str">
        <f>IF(AND(D12,E12&gt;50000),"Priority","Standard")</f>
        <v>Priority</v>
      </c>
      <c r="G12" s="6" t="s">
        <v>154</v>
      </c>
    </row>
    <row r="13" spans="1:7" ht="54.75" customHeight="1" x14ac:dyDescent="0.25">
      <c r="A13" s="10">
        <v>10</v>
      </c>
      <c r="B13" s="11" t="s">
        <v>155</v>
      </c>
      <c r="C13" s="6" t="s">
        <v>156</v>
      </c>
      <c r="D13" s="12" t="s">
        <v>113</v>
      </c>
      <c r="E13" s="12"/>
      <c r="F13" s="13" t="str">
        <f>_xlfn.XLOOKUP(D13,'Reference Tables'!F4:F10,'Reference Tables'!I4:I10)</f>
        <v>K. Ibrahim</v>
      </c>
      <c r="G13" s="6" t="s">
        <v>157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zoomScaleNormal="100" workbookViewId="0">
      <pane ySplit="3" topLeftCell="A4" activePane="bottomLeft" state="frozen"/>
      <selection pane="bottomLeft" activeCell="E8" sqref="E8"/>
    </sheetView>
  </sheetViews>
  <sheetFormatPr defaultColWidth="8.7109375" defaultRowHeight="15" x14ac:dyDescent="0.25"/>
  <cols>
    <col min="1" max="1" width="5" customWidth="1"/>
    <col min="2" max="2" width="20" customWidth="1"/>
    <col min="3" max="3" width="60" customWidth="1"/>
    <col min="4" max="4" width="55" customWidth="1"/>
  </cols>
  <sheetData>
    <row r="1" spans="1:4" ht="21.75" customHeight="1" x14ac:dyDescent="0.25">
      <c r="A1" s="18" t="s">
        <v>158</v>
      </c>
      <c r="B1" s="18"/>
      <c r="C1" s="18"/>
      <c r="D1" s="18"/>
    </row>
    <row r="2" spans="1:4" x14ac:dyDescent="0.25">
      <c r="A2" s="20" t="s">
        <v>159</v>
      </c>
      <c r="B2" s="20"/>
      <c r="C2" s="20"/>
      <c r="D2" s="20"/>
    </row>
    <row r="3" spans="1:4" ht="36" customHeight="1" x14ac:dyDescent="0.25">
      <c r="A3" s="4" t="s">
        <v>119</v>
      </c>
      <c r="B3" s="4" t="s">
        <v>120</v>
      </c>
      <c r="C3" s="4" t="s">
        <v>160</v>
      </c>
      <c r="D3" s="4" t="s">
        <v>161</v>
      </c>
    </row>
    <row r="4" spans="1:4" ht="31.5" customHeight="1" x14ac:dyDescent="0.25">
      <c r="A4" s="10">
        <v>1</v>
      </c>
      <c r="B4" s="11" t="s">
        <v>126</v>
      </c>
      <c r="C4" s="14" t="str">
        <f>VLOOKUP(Exercises!D4,'Reference Tables'!A5:D14,2,FALSE())</f>
        <v>Displays</v>
      </c>
      <c r="D4" s="15" t="s">
        <v>162</v>
      </c>
    </row>
    <row r="5" spans="1:4" ht="31.5" customHeight="1" x14ac:dyDescent="0.25">
      <c r="A5" s="10">
        <v>2</v>
      </c>
      <c r="B5" s="11" t="s">
        <v>129</v>
      </c>
      <c r="C5" s="16">
        <f>INDEX('Reference Tables'!C5:C14,MATCH(Exercises!D5,'Reference Tables'!A5:A14,0))</f>
        <v>42000</v>
      </c>
      <c r="D5" s="15" t="s">
        <v>162</v>
      </c>
    </row>
    <row r="6" spans="1:4" ht="31.5" customHeight="1" x14ac:dyDescent="0.25">
      <c r="A6" s="10">
        <v>3</v>
      </c>
      <c r="B6" s="11" t="s">
        <v>132</v>
      </c>
      <c r="C6" s="14" t="str">
        <f>INDEX('Reference Tables'!G5:G10,MATCH(Exercises!D6,'Reference Tables'!F5:F10,0))</f>
        <v>Lagos</v>
      </c>
      <c r="D6" s="15" t="s">
        <v>163</v>
      </c>
    </row>
    <row r="7" spans="1:4" ht="31.5" customHeight="1" x14ac:dyDescent="0.25">
      <c r="A7" s="10">
        <v>4</v>
      </c>
      <c r="B7" s="11" t="s">
        <v>135</v>
      </c>
      <c r="C7" s="14" t="str">
        <f>IFERROR(INDEX('Reference Tables'!B5:B14,MATCH(Exercises!D7,'Reference Tables'!A5:A14,0)),"Not Found")</f>
        <v>Not Found</v>
      </c>
      <c r="D7" s="15" t="s">
        <v>164</v>
      </c>
    </row>
    <row r="8" spans="1:4" ht="31.5" customHeight="1" x14ac:dyDescent="0.25">
      <c r="A8" s="10">
        <v>5</v>
      </c>
      <c r="B8" s="11" t="s">
        <v>139</v>
      </c>
      <c r="C8" s="14" t="str">
        <f>IFERROR(VLOOKUP(Exercises!D8,'Reference Tables'!F5:I10,3,FALSE()),"Check Name")</f>
        <v>Check Name</v>
      </c>
      <c r="D8" s="15" t="s">
        <v>162</v>
      </c>
    </row>
    <row r="9" spans="1:4" ht="31.5" customHeight="1" x14ac:dyDescent="0.25">
      <c r="A9" s="10">
        <v>6</v>
      </c>
      <c r="B9" s="11" t="s">
        <v>143</v>
      </c>
      <c r="C9" s="16">
        <f>INDEX('Sales Data'!A4:J33,MATCH(Exercises!D9,'Sales Data'!A4:A33,0),MATCH(Exercises!E9,'Sales Data'!A3:J3,0))</f>
        <v>154000</v>
      </c>
      <c r="D9" s="15" t="s">
        <v>162</v>
      </c>
    </row>
    <row r="10" spans="1:4" ht="31.5" customHeight="1" x14ac:dyDescent="0.25">
      <c r="A10" s="10">
        <v>7</v>
      </c>
      <c r="B10" s="11" t="s">
        <v>146</v>
      </c>
      <c r="C10" s="14">
        <f>VLOOKUP(Exercises!D10,'Reference Tables'!A19:B22,2,TRUE())</f>
        <v>0.08</v>
      </c>
      <c r="D10" s="15" t="s">
        <v>162</v>
      </c>
    </row>
    <row r="11" spans="1:4" ht="31.5" customHeight="1" x14ac:dyDescent="0.25">
      <c r="A11" s="10">
        <v>8</v>
      </c>
      <c r="B11" s="11" t="s">
        <v>149</v>
      </c>
      <c r="C11" s="14" t="str">
        <f>IF(Exercises!D11&lt;20000,"Small",IF(Exercises!D11&lt;=80000,"Medium","Large"))</f>
        <v>Medium</v>
      </c>
      <c r="D11" s="15" t="s">
        <v>162</v>
      </c>
    </row>
    <row r="12" spans="1:4" ht="31.5" customHeight="1" x14ac:dyDescent="0.25">
      <c r="A12" s="10">
        <v>9</v>
      </c>
      <c r="B12" s="11" t="s">
        <v>152</v>
      </c>
      <c r="C12" s="14" t="str">
        <f>IF(AND(Exercises!D12="Lagos",Exercises!E12&gt;50000),"Priority","Standard")</f>
        <v>Priority</v>
      </c>
      <c r="D12" s="15" t="s">
        <v>162</v>
      </c>
    </row>
    <row r="13" spans="1:4" ht="31.5" customHeight="1" x14ac:dyDescent="0.25">
      <c r="A13" s="10">
        <v>10</v>
      </c>
      <c r="B13" s="11" t="s">
        <v>155</v>
      </c>
      <c r="C13" s="14" t="str">
        <f>IFERROR(INDEX('Reference Tables'!I5:I10,MATCH(Exercises!D13,'Reference Tables'!F5:F10,0)),"Unassigned")</f>
        <v>K. Ibrahim</v>
      </c>
      <c r="D13" s="15" t="s">
        <v>165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 Data</vt:lpstr>
      <vt:lpstr>Reference Tables</vt:lpstr>
      <vt:lpstr>Exercises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OLUMIDE ADEBAYO</cp:lastModifiedBy>
  <cp:revision>0</cp:revision>
  <dcterms:created xsi:type="dcterms:W3CDTF">2026-07-29T19:27:34Z</dcterms:created>
  <dcterms:modified xsi:type="dcterms:W3CDTF">2026-08-06T13:39:09Z</dcterms:modified>
  <dc:language>en-US</dc:language>
</cp:coreProperties>
</file>